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Costs" sheetId="2" state="visible" r:id="rId4"/>
    <sheet name="Per design" sheetId="3" state="visible" r:id="rId5"/>
    <sheet name="Need from you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The dirham is pegged to the US dollar at 3.6725.</t>
        </r>
      </text>
    </comment>
    <comment ref="D7" authorId="0">
      <text>
        <r>
          <rPr>
            <sz val="10"/>
            <rFont val="Arial"/>
            <family val="2"/>
          </rPr>
          <t xml:space="preserve">Source: Render pricing, Starter web service $7/month (checkthat.ai/brands/render/pricing, Sep 2026).</t>
        </r>
      </text>
    </comment>
    <comment ref="D8" authorId="0">
      <text>
        <r>
          <rPr>
            <sz val="10"/>
            <rFont val="Arial"/>
            <family val="2"/>
          </rPr>
          <t xml:space="preserve">Source: Render Postgres, Basic-256mb $6/month; free instances expire after 30 days (render.com/docs/postgresql-refresh, Sep 2026).</t>
        </r>
      </text>
    </comment>
    <comment ref="D9" authorId="0">
      <text>
        <r>
          <rPr>
            <sz val="10"/>
            <rFont val="Arial"/>
            <family val="2"/>
          </rPr>
          <t xml:space="preserve">Source: .ae registration from AED 125/yr (cybernews.com/best-domain-registrars/best-ae-domain-registrars, Sep 2026).</t>
        </r>
      </text>
    </comment>
    <comment ref="D11" authorId="0">
      <text>
        <r>
          <rPr>
            <sz val="10"/>
            <rFont val="Arial"/>
            <family val="2"/>
          </rPr>
          <t xml:space="preserve">Source: stripe.com/ae/pricing — 2.9% + AED 1 per successful card charge (Sep 2026).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OpenAI GPT-Image-1 pricing, 1024x1024 medium — developers.openai.com/api/docs/models/gpt-image-1 (Sep 2026).</t>
        </r>
      </text>
    </comment>
    <comment ref="B6" authorId="0">
      <text>
        <r>
          <rPr>
            <sz val="10"/>
            <rFont val="Arial"/>
            <family val="2"/>
          </rPr>
          <t xml:space="preserve">Source: OpenAI GPT-Image-1 pricing, 1024x1024 high — developers.openai.com/api/docs/models/gpt-image-1 (Sep 2026).</t>
        </r>
      </text>
    </comment>
    <comment ref="B7" authorId="0">
      <text>
        <r>
          <rPr>
            <sz val="10"/>
            <rFont val="Arial"/>
            <family val="2"/>
          </rPr>
          <t xml:space="preserve">Estimate: top of OpenAI's published GPT-Image-1 range ($0.011–$0.25). Confirm on the OpenAI usage page once live.</t>
        </r>
      </text>
    </comment>
    <comment ref="B8" authorId="0">
      <text>
        <r>
          <rPr>
            <sz val="10"/>
            <rFont val="Arial"/>
            <family val="2"/>
          </rPr>
          <t xml:space="preserve">Estimate for one vision call that lists what is in the room and prices it. Confirm on the OpenAI usage page.</t>
        </r>
      </text>
    </comment>
  </commentList>
</comments>
</file>

<file path=xl/sharedStrings.xml><?xml version="1.0" encoding="utf-8"?>
<sst xmlns="http://schemas.openxmlformats.org/spreadsheetml/2006/main" count="262" uniqueCount="167">
  <si>
    <t xml:space="preserve">Second Draft — scope and plan</t>
  </si>
  <si>
    <t xml:space="preserve">What is built, what launch needs, and what can wait.</t>
  </si>
  <si>
    <t xml:space="preserve">Item</t>
  </si>
  <si>
    <t xml:space="preserve">What it means</t>
  </si>
  <si>
    <t xml:space="preserve">Status</t>
  </si>
  <si>
    <t xml:space="preserve">Who</t>
  </si>
  <si>
    <t xml:space="preserve">LIVE NOW</t>
  </si>
  <si>
    <t xml:space="preserve">Room studio</t>
  </si>
  <si>
    <t xml:space="preserve">Upload a room, pick a look (or write a brief), get redesigns back</t>
  </si>
  <si>
    <t xml:space="preserve">Done</t>
  </si>
  <si>
    <t xml:space="preserve">Aishika</t>
  </si>
  <si>
    <t xml:space="preserve">Keeps what matters</t>
  </si>
  <si>
    <t xml:space="preserve">Doors, windows, built-ins and ticked furniture stay where they are</t>
  </si>
  <si>
    <t xml:space="preserve">Every angle redrawn</t>
  </si>
  <si>
    <t xml:space="preserve">A full redesign takes 2+ photos and returns each one redesigned, matching</t>
  </si>
  <si>
    <t xml:space="preserve">Compare, download, edit</t>
  </si>
  <si>
    <t xml:space="preserve">Before/after slider, downloads, and follow-up changes to a design</t>
  </si>
  <si>
    <t xml:space="preserve">Talk it through</t>
  </si>
  <si>
    <t xml:space="preserve">Chat with a designer assistant about the design on screen</t>
  </si>
  <si>
    <t xml:space="preserve">Accounts &amp; history</t>
  </si>
  <si>
    <t xml:space="preserve">Email sign-up, saved designs, past rooms</t>
  </si>
  <si>
    <t xml:space="preserve">Cost estimate</t>
  </si>
  <si>
    <t xml:space="preserve">Indicative cost per room, in AED at local rates</t>
  </si>
  <si>
    <t xml:space="preserve">Plans</t>
  </si>
  <si>
    <t xml:space="preserve">Free / One Room / Whole Home / Studio change quality and number of designs</t>
  </si>
  <si>
    <t xml:space="preserve">WhatsApp handover</t>
  </si>
  <si>
    <t xml:space="preserve">'Talk to a designer' under finished designs opens a chat with you</t>
  </si>
  <si>
    <t xml:space="preserve">Done — needs your number</t>
  </si>
  <si>
    <t xml:space="preserve">Both</t>
  </si>
  <si>
    <t xml:space="preserve">TO LAUNCH</t>
  </si>
  <si>
    <t xml:space="preserve">Google sign-in</t>
  </si>
  <si>
    <t xml:space="preserve">Needs a Google Cloud project and a one-time Google review</t>
  </si>
  <si>
    <t xml:space="preserve">To do</t>
  </si>
  <si>
    <t xml:space="preserve">Paid hosting</t>
  </si>
  <si>
    <t xml:space="preserve">Site and database off the free plan (free database is deleted after 30 days)</t>
  </si>
  <si>
    <t xml:space="preserve">Domain</t>
  </si>
  <si>
    <t xml:space="preserve">Buy and connect the web address</t>
  </si>
  <si>
    <t xml:space="preserve">Free-plan daily limit</t>
  </si>
  <si>
    <t xml:space="preserve">Stops anyone running up the image bill</t>
  </si>
  <si>
    <t xml:space="preserve">Privacy policy &amp; terms</t>
  </si>
  <si>
    <t xml:space="preserve">Includes a line that designs are a visual aid, not a site survey</t>
  </si>
  <si>
    <t xml:space="preserve">SEO basics</t>
  </si>
  <si>
    <t xml:space="preserve">Page titles, descriptions, sitemap, Google Search Console</t>
  </si>
  <si>
    <t xml:space="preserve">Error alerts</t>
  </si>
  <si>
    <t xml:space="preserve">Get told when something breaks, before a client does</t>
  </si>
  <si>
    <t xml:space="preserve">Real-room testing</t>
  </si>
  <si>
    <t xml:space="preserve">5–10 real homes through it before going public</t>
  </si>
  <si>
    <t xml:space="preserve">DECIDE</t>
  </si>
  <si>
    <t xml:space="preserve">Sell plans, or free lead tool?</t>
  </si>
  <si>
    <t xml:space="preserve">If the goal is enquiries, the studio can be free (with a daily limit) and payments aren't needed at all</t>
  </si>
  <si>
    <t xml:space="preserve">Your call</t>
  </si>
  <si>
    <t xml:space="preserve">Eleganza</t>
  </si>
  <si>
    <t xml:space="preserve">Catalogue</t>
  </si>
  <si>
    <t xml:space="preserve">Only worth doing with real product photos, sizes and prices — otherwise park it</t>
  </si>
  <si>
    <t xml:space="preserve">LATER (IF WANTED)</t>
  </si>
  <si>
    <t xml:space="preserve">Stripe payments</t>
  </si>
  <si>
    <t xml:space="preserve">Charge for plans in AED — only if you sell plans</t>
  </si>
  <si>
    <t xml:space="preserve">Later</t>
  </si>
  <si>
    <t xml:space="preserve">Product catalogue live</t>
  </si>
  <si>
    <t xml:space="preserve">Designs steered toward pieces you actually supply</t>
  </si>
  <si>
    <t xml:space="preserve">Usage dashboard</t>
  </si>
  <si>
    <t xml:space="preserve">See designs made, enquiries and cost without asking</t>
  </si>
  <si>
    <t xml:space="preserve">Arabic</t>
  </si>
  <si>
    <t xml:space="preserve">Arabic version of the site</t>
  </si>
  <si>
    <t xml:space="preserve">Running costs</t>
  </si>
  <si>
    <t xml:space="preserve">Everything the site costs to run, and who pays for it. Blue: published prices (see notes). Green: pulled from 'Per design'.</t>
  </si>
  <si>
    <t xml:space="preserve">USD → AED</t>
  </si>
  <si>
    <t xml:space="preserve">What it's for</t>
  </si>
  <si>
    <t xml:space="preserve">How it's billed</t>
  </si>
  <si>
    <t xml:space="preserve">Cost (USD)</t>
  </si>
  <si>
    <t xml:space="preserve">Per</t>
  </si>
  <si>
    <t xml:space="preserve">Monthly (USD)</t>
  </si>
  <si>
    <t xml:space="preserve">Monthly (AED)</t>
  </si>
  <si>
    <t xml:space="preserve">Paid by</t>
  </si>
  <si>
    <t xml:space="preserve">Notes</t>
  </si>
  <si>
    <t xml:space="preserve">Hosting — website</t>
  </si>
  <si>
    <t xml:space="preserve">Keeps the site awake and on your own address</t>
  </si>
  <si>
    <t xml:space="preserve">Fixed</t>
  </si>
  <si>
    <t xml:space="preserve">month</t>
  </si>
  <si>
    <t xml:space="preserve">Aishika — added to invoice</t>
  </si>
  <si>
    <t xml:space="preserve">Render Starter. The free plan sleeps after 15 min, so the next visitor waits about a minute.</t>
  </si>
  <si>
    <t xml:space="preserve">Hosting — database</t>
  </si>
  <si>
    <t xml:space="preserve">Accounts and saved designs</t>
  </si>
  <si>
    <t xml:space="preserve">Render Basic-256mb. The free database is deleted 30 days after it is created, data and all.</t>
  </si>
  <si>
    <t xml:space="preserve">Your web address</t>
  </si>
  <si>
    <t xml:space="preserve">year</t>
  </si>
  <si>
    <t xml:space="preserve">A .ae is about AED 125/yr and needs no trade licence (.co.ae does). A .com is cheaper, ~$10–15/yr. Register it in Eleganza's name.</t>
  </si>
  <si>
    <t xml:space="preserve">Image &amp; reading (OpenAI)</t>
  </si>
  <si>
    <t xml:space="preserve">Every design and room reading</t>
  </si>
  <si>
    <t xml:space="preserve">Per use</t>
  </si>
  <si>
    <t xml:space="preserve">Eleganza — on your card</t>
  </si>
  <si>
    <t xml:space="preserve">Depends entirely on how many people use it. Example usage on the 'Per design' tab.</t>
  </si>
  <si>
    <t xml:space="preserve">Payments (Stripe)</t>
  </si>
  <si>
    <t xml:space="preserve">Taking money for paid plans</t>
  </si>
  <si>
    <t xml:space="preserve">2.9% + AED 1 per sale</t>
  </si>
  <si>
    <t xml:space="preserve">per sale</t>
  </si>
  <si>
    <t xml:space="preserve">No monthly fee. +1.5% on international cards. Only needed if you sell plans.</t>
  </si>
  <si>
    <t xml:space="preserve">WhatsApp button</t>
  </si>
  <si>
    <t xml:space="preserve">'Talk to a designer' after a design</t>
  </si>
  <si>
    <t xml:space="preserve">Free</t>
  </si>
  <si>
    <t xml:space="preserve">—</t>
  </si>
  <si>
    <t xml:space="preserve">Opens a chat with your existing WhatsApp Business number. No API or fees.</t>
  </si>
  <si>
    <t xml:space="preserve">Sign in with Google</t>
  </si>
  <si>
    <t xml:space="preserve">Needs a privacy policy page and a one-time Google review.</t>
  </si>
  <si>
    <t xml:space="preserve">Being found on Google</t>
  </si>
  <si>
    <t xml:space="preserve">Search Console, sitemap, Google Business Profile link. Ads or an agency are optional and separate.</t>
  </si>
  <si>
    <t xml:space="preserve">Know when something breaks</t>
  </si>
  <si>
    <t xml:space="preserve">Sentry free plan.</t>
  </si>
  <si>
    <t xml:space="preserve">Fixed each month (hosting + domain)</t>
  </si>
  <si>
    <t xml:space="preserve">Total each month, with example usage</t>
  </si>
  <si>
    <t xml:space="preserve">Build (one-time, design and development)</t>
  </si>
  <si>
    <t xml:space="preserve">As agreed between us — separate from the running costs above.</t>
  </si>
  <si>
    <t xml:space="preserve">What each design run costs</t>
  </si>
  <si>
    <t xml:space="preserve">Yellow cells: change these to your expected usage. Blue: prices (sources in the cell notes).</t>
  </si>
  <si>
    <t xml:space="preserve">Image price by quality (USD, per image)</t>
  </si>
  <si>
    <t xml:space="preserve">medium</t>
  </si>
  <si>
    <t xml:space="preserve">high</t>
  </si>
  <si>
    <t xml:space="preserve">xhigh</t>
  </si>
  <si>
    <t xml:space="preserve">Reading a room (per run)</t>
  </si>
  <si>
    <t xml:space="preserve">Plan</t>
  </si>
  <si>
    <t xml:space="preserve">Quality</t>
  </si>
  <si>
    <t xml:space="preserve">Designs per run</t>
  </si>
  <si>
    <t xml:space="preserve">Cost per design (USD)</t>
  </si>
  <si>
    <t xml:space="preserve">Cost per run (USD)</t>
  </si>
  <si>
    <t xml:space="preserve">Cost per run (AED)</t>
  </si>
  <si>
    <t xml:space="preserve">Runs per month</t>
  </si>
  <si>
    <t xml:space="preserve">One Room</t>
  </si>
  <si>
    <t xml:space="preserve">Whole Home</t>
  </si>
  <si>
    <t xml:space="preserve">Studio</t>
  </si>
  <si>
    <t xml:space="preserve">Total</t>
  </si>
  <si>
    <t xml:space="preserve">A full redesign returns one design per photo, so 'Designs per run' is the most a plan allows. Runs per month are an example — replace with your own guess.</t>
  </si>
  <si>
    <t xml:space="preserve">What I need from Eleganza</t>
  </si>
  <si>
    <t xml:space="preserve">Status column: pick from the list as things come in.</t>
  </si>
  <si>
    <t xml:space="preserve">#</t>
  </si>
  <si>
    <t xml:space="preserve">What</t>
  </si>
  <si>
    <t xml:space="preserve">Why</t>
  </si>
  <si>
    <t xml:space="preserve">When</t>
  </si>
  <si>
    <t xml:space="preserve">WhatsApp Business number</t>
  </si>
  <si>
    <t xml:space="preserve">Turns on the 'Talk to a designer' button</t>
  </si>
  <si>
    <t xml:space="preserve">To launch</t>
  </si>
  <si>
    <t xml:space="preserve">Pending</t>
  </si>
  <si>
    <t xml:space="preserve">Who answers WhatsApp enquiries, and when</t>
  </si>
  <si>
    <t xml:space="preserve">So people who tap it hear back</t>
  </si>
  <si>
    <t xml:space="preserve">Domain name choice</t>
  </si>
  <si>
    <t xml:space="preserve">Your web address; registered in Eleganza's name</t>
  </si>
  <si>
    <t xml:space="preserve">Logo and brand colours</t>
  </si>
  <si>
    <t xml:space="preserve">So the site looks like Eleganza</t>
  </si>
  <si>
    <t xml:space="preserve">6–10 photos of finished projects</t>
  </si>
  <si>
    <t xml:space="preserve">Real work on the home page builds trust</t>
  </si>
  <si>
    <t xml:space="preserve">Support email address</t>
  </si>
  <si>
    <t xml:space="preserve">Site footer, and required by Google sign-in</t>
  </si>
  <si>
    <t xml:space="preserve">A Google account to own the sign-in setup</t>
  </si>
  <si>
    <t xml:space="preserve">Google sign-in is created under your account</t>
  </si>
  <si>
    <t xml:space="preserve">OpenAI account on Eleganza's card</t>
  </si>
  <si>
    <t xml:space="preserve">Designs are billed to you, not to me. Needs a one-time ID check with OpenAI</t>
  </si>
  <si>
    <t xml:space="preserve">Approve hosting (~$13 / AED 48 a month)</t>
  </si>
  <si>
    <t xml:space="preserve">Website + database; I pay and add it to my invoice</t>
  </si>
  <si>
    <t xml:space="preserve">Sign-off on privacy policy &amp; terms</t>
  </si>
  <si>
    <t xml:space="preserve">I'll draft them; you approve</t>
  </si>
  <si>
    <t xml:space="preserve">Decision: sell plans, or free lead tool</t>
  </si>
  <si>
    <t xml:space="preserve">Decides whether payments are needed at all</t>
  </si>
  <si>
    <t xml:space="preserve">Plan prices in AED</t>
  </si>
  <si>
    <t xml:space="preserve">Only if selling plans</t>
  </si>
  <si>
    <t xml:space="preserve">Stripe account (trade licence, UAE bank account)</t>
  </si>
  <si>
    <t xml:space="preserve">Only if selling plans — Stripe signs up the business, not me</t>
  </si>
  <si>
    <t xml:space="preserve">Catalogue: yes or no</t>
  </si>
  <si>
    <t xml:space="preserve">If yes: photos, sizes in mm and AED prices, in the template I sent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</si>
</sst>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\$#,##0.00;&quot;($&quot;#,##0.00\);\-"/>
    <numFmt numFmtId="167" formatCode="&quot;AED &quot;#,##0;&quot;(AED &quot;#,##0\);\-"/>
    <numFmt numFmtId="168" formatCode="\$#,##0.000;&quot;($&quot;#,##0.000\);\-"/>
    <numFmt numFmtId="169" formatCode="&quot;AED &quot;#,##0.00;&quot;(AED &quot;#,##0.00\);\-"/>
    <numFmt numFmtId="170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130F"/>
      <name val="Arial"/>
      <family val="0"/>
      <charset val="1"/>
    </font>
    <font>
      <i val="true"/>
      <sz val="10"/>
      <color rgb="FF6A64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04A2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30F"/>
        <bgColor rgb="FF000000"/>
      </patternFill>
    </fill>
    <fill>
      <patternFill patternType="solid">
        <fgColor rgb="FFF2EFE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1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1C1"/>
      <rgbColor rgb="FF808080"/>
      <rgbColor rgb="FF9999FF"/>
      <rgbColor rgb="FF993366"/>
      <rgbColor rgb="FFF2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459"/>
      <rgbColor rgb="FF969696"/>
      <rgbColor rgb="FF003366"/>
      <rgbColor rgb="FF2E7D32"/>
      <rgbColor rgb="FF14130F"/>
      <rgbColor rgb="FF333300"/>
      <rgbColor rgb="FFB04A2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6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s">
        <v>9</v>
      </c>
      <c r="D6" s="5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6" t="s">
        <v>9</v>
      </c>
      <c r="D7" s="5" t="s">
        <v>10</v>
      </c>
    </row>
    <row r="8" customFormat="false" ht="15" hidden="false" customHeight="false" outlineLevel="0" collapsed="false">
      <c r="A8" s="5" t="s">
        <v>13</v>
      </c>
      <c r="B8" s="5" t="s">
        <v>14</v>
      </c>
      <c r="C8" s="6" t="s">
        <v>9</v>
      </c>
      <c r="D8" s="5" t="s">
        <v>10</v>
      </c>
    </row>
    <row r="9" customFormat="false" ht="15" hidden="false" customHeight="false" outlineLevel="0" collapsed="false">
      <c r="A9" s="5" t="s">
        <v>15</v>
      </c>
      <c r="B9" s="5" t="s">
        <v>16</v>
      </c>
      <c r="C9" s="6" t="s">
        <v>9</v>
      </c>
      <c r="D9" s="5" t="s">
        <v>10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6" t="s">
        <v>9</v>
      </c>
      <c r="D10" s="5" t="s">
        <v>10</v>
      </c>
    </row>
    <row r="11" customFormat="false" ht="15" hidden="false" customHeight="false" outlineLevel="0" collapsed="false">
      <c r="A11" s="5" t="s">
        <v>19</v>
      </c>
      <c r="B11" s="5" t="s">
        <v>20</v>
      </c>
      <c r="C11" s="6" t="s">
        <v>9</v>
      </c>
      <c r="D11" s="5" t="s">
        <v>10</v>
      </c>
    </row>
    <row r="12" customFormat="false" ht="15" hidden="false" customHeight="false" outlineLevel="0" collapsed="false">
      <c r="A12" s="5" t="s">
        <v>21</v>
      </c>
      <c r="B12" s="5" t="s">
        <v>22</v>
      </c>
      <c r="C12" s="6" t="s">
        <v>9</v>
      </c>
      <c r="D12" s="5" t="s">
        <v>10</v>
      </c>
    </row>
    <row r="13" customFormat="false" ht="15" hidden="false" customHeight="false" outlineLevel="0" collapsed="false">
      <c r="A13" s="5" t="s">
        <v>23</v>
      </c>
      <c r="B13" s="5" t="s">
        <v>24</v>
      </c>
      <c r="C13" s="6" t="s">
        <v>9</v>
      </c>
      <c r="D13" s="5" t="s">
        <v>10</v>
      </c>
    </row>
    <row r="14" customFormat="false" ht="15" hidden="false" customHeight="false" outlineLevel="0" collapsed="false">
      <c r="A14" s="5" t="s">
        <v>25</v>
      </c>
      <c r="B14" s="5" t="s">
        <v>26</v>
      </c>
      <c r="C14" s="6" t="s">
        <v>27</v>
      </c>
      <c r="D14" s="5" t="s">
        <v>28</v>
      </c>
    </row>
    <row r="15" customFormat="false" ht="15" hidden="false" customHeight="false" outlineLevel="0" collapsed="false">
      <c r="A15" s="4" t="s">
        <v>29</v>
      </c>
    </row>
    <row r="16" customFormat="false" ht="15" hidden="false" customHeight="false" outlineLevel="0" collapsed="false">
      <c r="A16" s="5" t="s">
        <v>30</v>
      </c>
      <c r="B16" s="5" t="s">
        <v>31</v>
      </c>
      <c r="C16" s="5" t="s">
        <v>32</v>
      </c>
      <c r="D16" s="5" t="s">
        <v>28</v>
      </c>
    </row>
    <row r="17" customFormat="false" ht="15" hidden="false" customHeight="false" outlineLevel="0" collapsed="false">
      <c r="A17" s="5" t="s">
        <v>33</v>
      </c>
      <c r="B17" s="5" t="s">
        <v>34</v>
      </c>
      <c r="C17" s="5" t="s">
        <v>32</v>
      </c>
      <c r="D17" s="5" t="s">
        <v>10</v>
      </c>
    </row>
    <row r="18" customFormat="false" ht="15" hidden="false" customHeight="false" outlineLevel="0" collapsed="false">
      <c r="A18" s="5" t="s">
        <v>35</v>
      </c>
      <c r="B18" s="5" t="s">
        <v>36</v>
      </c>
      <c r="C18" s="5" t="s">
        <v>32</v>
      </c>
      <c r="D18" s="5" t="s">
        <v>28</v>
      </c>
    </row>
    <row r="19" customFormat="false" ht="15" hidden="false" customHeight="false" outlineLevel="0" collapsed="false">
      <c r="A19" s="5" t="s">
        <v>37</v>
      </c>
      <c r="B19" s="5" t="s">
        <v>38</v>
      </c>
      <c r="C19" s="5" t="s">
        <v>32</v>
      </c>
      <c r="D19" s="5" t="s">
        <v>10</v>
      </c>
    </row>
    <row r="20" customFormat="false" ht="15" hidden="false" customHeight="false" outlineLevel="0" collapsed="false">
      <c r="A20" s="5" t="s">
        <v>39</v>
      </c>
      <c r="B20" s="5" t="s">
        <v>40</v>
      </c>
      <c r="C20" s="5" t="s">
        <v>32</v>
      </c>
      <c r="D20" s="5" t="s">
        <v>28</v>
      </c>
    </row>
    <row r="21" customFormat="false" ht="15" hidden="false" customHeight="false" outlineLevel="0" collapsed="false">
      <c r="A21" s="5" t="s">
        <v>41</v>
      </c>
      <c r="B21" s="5" t="s">
        <v>42</v>
      </c>
      <c r="C21" s="5" t="s">
        <v>32</v>
      </c>
      <c r="D21" s="5" t="s">
        <v>10</v>
      </c>
    </row>
    <row r="22" customFormat="false" ht="15" hidden="false" customHeight="false" outlineLevel="0" collapsed="false">
      <c r="A22" s="5" t="s">
        <v>43</v>
      </c>
      <c r="B22" s="5" t="s">
        <v>44</v>
      </c>
      <c r="C22" s="5" t="s">
        <v>32</v>
      </c>
      <c r="D22" s="5" t="s">
        <v>10</v>
      </c>
    </row>
    <row r="23" customFormat="false" ht="15" hidden="false" customHeight="false" outlineLevel="0" collapsed="false">
      <c r="A23" s="5" t="s">
        <v>45</v>
      </c>
      <c r="B23" s="5" t="s">
        <v>46</v>
      </c>
      <c r="C23" s="5" t="s">
        <v>32</v>
      </c>
      <c r="D23" s="5" t="s">
        <v>28</v>
      </c>
    </row>
    <row r="24" customFormat="false" ht="15" hidden="false" customHeight="false" outlineLevel="0" collapsed="false">
      <c r="A24" s="4" t="s">
        <v>47</v>
      </c>
    </row>
    <row r="25" customFormat="false" ht="15" hidden="false" customHeight="false" outlineLevel="0" collapsed="false">
      <c r="A25" s="5" t="s">
        <v>48</v>
      </c>
      <c r="B25" s="5" t="s">
        <v>49</v>
      </c>
      <c r="C25" s="5" t="s">
        <v>50</v>
      </c>
      <c r="D25" s="5" t="s">
        <v>51</v>
      </c>
    </row>
    <row r="26" customFormat="false" ht="15" hidden="false" customHeight="false" outlineLevel="0" collapsed="false">
      <c r="A26" s="5" t="s">
        <v>52</v>
      </c>
      <c r="B26" s="5" t="s">
        <v>53</v>
      </c>
      <c r="C26" s="5" t="s">
        <v>50</v>
      </c>
      <c r="D26" s="5" t="s">
        <v>51</v>
      </c>
    </row>
    <row r="27" customFormat="false" ht="15" hidden="false" customHeight="false" outlineLevel="0" collapsed="false">
      <c r="A27" s="4" t="s">
        <v>54</v>
      </c>
    </row>
    <row r="28" customFormat="false" ht="15" hidden="false" customHeight="false" outlineLevel="0" collapsed="false">
      <c r="A28" s="5" t="s">
        <v>55</v>
      </c>
      <c r="B28" s="5" t="s">
        <v>56</v>
      </c>
      <c r="C28" s="5" t="s">
        <v>57</v>
      </c>
      <c r="D28" s="5" t="s">
        <v>10</v>
      </c>
    </row>
    <row r="29" customFormat="false" ht="15" hidden="false" customHeight="false" outlineLevel="0" collapsed="false">
      <c r="A29" s="5" t="s">
        <v>58</v>
      </c>
      <c r="B29" s="5" t="s">
        <v>59</v>
      </c>
      <c r="C29" s="5" t="s">
        <v>57</v>
      </c>
      <c r="D29" s="5" t="s">
        <v>28</v>
      </c>
    </row>
    <row r="30" customFormat="false" ht="15" hidden="false" customHeight="false" outlineLevel="0" collapsed="false">
      <c r="A30" s="5" t="s">
        <v>60</v>
      </c>
      <c r="B30" s="5" t="s">
        <v>61</v>
      </c>
      <c r="C30" s="5" t="s">
        <v>57</v>
      </c>
      <c r="D30" s="5" t="s">
        <v>10</v>
      </c>
    </row>
    <row r="31" customFormat="false" ht="15" hidden="false" customHeight="false" outlineLevel="0" collapsed="false">
      <c r="A31" s="5" t="s">
        <v>62</v>
      </c>
      <c r="B31" s="5" t="s">
        <v>63</v>
      </c>
      <c r="C31" s="5" t="s">
        <v>57</v>
      </c>
      <c r="D31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22"/>
    <col collapsed="false" customWidth="true" hidden="false" outlineLevel="0" max="9" min="9" style="0" width="60"/>
  </cols>
  <sheetData>
    <row r="1" customFormat="false" ht="18.5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7" t="s">
        <v>66</v>
      </c>
      <c r="B4" s="8" t="n">
        <v>3.6725</v>
      </c>
    </row>
    <row r="6" customFormat="false" ht="30" hidden="false" customHeight="true" outlineLevel="0" collapsed="false">
      <c r="A6" s="3" t="s">
        <v>2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74</v>
      </c>
    </row>
    <row r="7" customFormat="false" ht="23.85" hidden="false" customHeight="false" outlineLevel="0" collapsed="false">
      <c r="A7" s="5" t="s">
        <v>75</v>
      </c>
      <c r="B7" s="5" t="s">
        <v>76</v>
      </c>
      <c r="C7" s="5" t="s">
        <v>77</v>
      </c>
      <c r="D7" s="9" t="n">
        <v>7</v>
      </c>
      <c r="E7" s="5" t="s">
        <v>78</v>
      </c>
      <c r="F7" s="10" t="n">
        <f aca="false">IF(E7="month",N(D7),IF(E7="year",N(D7)/12,0))</f>
        <v>7</v>
      </c>
      <c r="G7" s="11" t="n">
        <f aca="false">F7*$B$4</f>
        <v>25.7075</v>
      </c>
      <c r="H7" s="5" t="s">
        <v>79</v>
      </c>
      <c r="I7" s="5" t="s">
        <v>80</v>
      </c>
    </row>
    <row r="8" customFormat="false" ht="15" hidden="false" customHeight="false" outlineLevel="0" collapsed="false">
      <c r="A8" s="5" t="s">
        <v>81</v>
      </c>
      <c r="B8" s="5" t="s">
        <v>82</v>
      </c>
      <c r="C8" s="5" t="s">
        <v>77</v>
      </c>
      <c r="D8" s="9" t="n">
        <v>6</v>
      </c>
      <c r="E8" s="5" t="s">
        <v>78</v>
      </c>
      <c r="F8" s="10" t="n">
        <f aca="false">IF(E8="month",N(D8),IF(E8="year",N(D8)/12,0))</f>
        <v>6</v>
      </c>
      <c r="G8" s="11" t="n">
        <f aca="false">F8*$B$4</f>
        <v>22.035</v>
      </c>
      <c r="H8" s="5" t="s">
        <v>79</v>
      </c>
      <c r="I8" s="5" t="s">
        <v>83</v>
      </c>
    </row>
    <row r="9" customFormat="false" ht="23.85" hidden="false" customHeight="false" outlineLevel="0" collapsed="false">
      <c r="A9" s="5" t="s">
        <v>35</v>
      </c>
      <c r="B9" s="5" t="s">
        <v>84</v>
      </c>
      <c r="C9" s="5" t="s">
        <v>77</v>
      </c>
      <c r="D9" s="9" t="n">
        <v>34</v>
      </c>
      <c r="E9" s="5" t="s">
        <v>85</v>
      </c>
      <c r="F9" s="10" t="n">
        <f aca="false">IF(E9="month",N(D9),IF(E9="year",N(D9)/12,0))</f>
        <v>2.83333333333333</v>
      </c>
      <c r="G9" s="11" t="n">
        <f aca="false">F9*$B$4</f>
        <v>10.4054166666667</v>
      </c>
      <c r="H9" s="5" t="s">
        <v>51</v>
      </c>
      <c r="I9" s="5" t="s">
        <v>86</v>
      </c>
    </row>
    <row r="10" customFormat="false" ht="15" hidden="false" customHeight="false" outlineLevel="0" collapsed="false">
      <c r="A10" s="5" t="s">
        <v>87</v>
      </c>
      <c r="B10" s="5" t="s">
        <v>88</v>
      </c>
      <c r="C10" s="5" t="s">
        <v>89</v>
      </c>
      <c r="D10" s="12" t="n">
        <f aca="false">'Per design'!H16</f>
        <v>41.26</v>
      </c>
      <c r="E10" s="5" t="s">
        <v>78</v>
      </c>
      <c r="F10" s="10" t="n">
        <f aca="false">IF(E10="month",N(D10),IF(E10="year",N(D10)/12,0))</f>
        <v>41.26</v>
      </c>
      <c r="G10" s="11" t="n">
        <f aca="false">F10*$B$4</f>
        <v>151.52735</v>
      </c>
      <c r="H10" s="5" t="s">
        <v>90</v>
      </c>
      <c r="I10" s="5" t="s">
        <v>91</v>
      </c>
    </row>
    <row r="11" customFormat="false" ht="15" hidden="false" customHeight="false" outlineLevel="0" collapsed="false">
      <c r="A11" s="5" t="s">
        <v>92</v>
      </c>
      <c r="B11" s="5" t="s">
        <v>93</v>
      </c>
      <c r="C11" s="5" t="s">
        <v>94</v>
      </c>
      <c r="D11" s="9"/>
      <c r="E11" s="5" t="s">
        <v>95</v>
      </c>
      <c r="F11" s="10" t="n">
        <f aca="false">IF(E11="month",N(D11),IF(E11="year",N(D11)/12,0))</f>
        <v>0</v>
      </c>
      <c r="G11" s="11" t="n">
        <f aca="false">F11*$B$4</f>
        <v>0</v>
      </c>
      <c r="H11" s="5" t="s">
        <v>51</v>
      </c>
      <c r="I11" s="5" t="s">
        <v>96</v>
      </c>
    </row>
    <row r="12" customFormat="false" ht="15" hidden="false" customHeight="false" outlineLevel="0" collapsed="false">
      <c r="A12" s="5" t="s">
        <v>97</v>
      </c>
      <c r="B12" s="5" t="s">
        <v>98</v>
      </c>
      <c r="C12" s="5" t="s">
        <v>99</v>
      </c>
      <c r="D12" s="9" t="n">
        <v>0</v>
      </c>
      <c r="E12" s="5" t="s">
        <v>78</v>
      </c>
      <c r="F12" s="10" t="n">
        <f aca="false">IF(E12="month",N(D12),IF(E12="year",N(D12)/12,0))</f>
        <v>0</v>
      </c>
      <c r="G12" s="11" t="n">
        <f aca="false">F12*$B$4</f>
        <v>0</v>
      </c>
      <c r="H12" s="5" t="s">
        <v>100</v>
      </c>
      <c r="I12" s="5" t="s">
        <v>101</v>
      </c>
    </row>
    <row r="13" customFormat="false" ht="15" hidden="false" customHeight="false" outlineLevel="0" collapsed="false">
      <c r="A13" s="5" t="s">
        <v>30</v>
      </c>
      <c r="B13" s="5" t="s">
        <v>102</v>
      </c>
      <c r="C13" s="5" t="s">
        <v>99</v>
      </c>
      <c r="D13" s="9" t="n">
        <v>0</v>
      </c>
      <c r="E13" s="5" t="s">
        <v>78</v>
      </c>
      <c r="F13" s="10" t="n">
        <f aca="false">IF(E13="month",N(D13),IF(E13="year",N(D13)/12,0))</f>
        <v>0</v>
      </c>
      <c r="G13" s="11" t="n">
        <f aca="false">F13*$B$4</f>
        <v>0</v>
      </c>
      <c r="H13" s="5" t="s">
        <v>100</v>
      </c>
      <c r="I13" s="5" t="s">
        <v>103</v>
      </c>
    </row>
    <row r="14" customFormat="false" ht="23.85" hidden="false" customHeight="false" outlineLevel="0" collapsed="false">
      <c r="A14" s="5" t="s">
        <v>41</v>
      </c>
      <c r="B14" s="5" t="s">
        <v>104</v>
      </c>
      <c r="C14" s="5" t="s">
        <v>99</v>
      </c>
      <c r="D14" s="9" t="n">
        <v>0</v>
      </c>
      <c r="E14" s="5" t="s">
        <v>78</v>
      </c>
      <c r="F14" s="10" t="n">
        <f aca="false">IF(E14="month",N(D14),IF(E14="year",N(D14)/12,0))</f>
        <v>0</v>
      </c>
      <c r="G14" s="11" t="n">
        <f aca="false">F14*$B$4</f>
        <v>0</v>
      </c>
      <c r="H14" s="5" t="s">
        <v>100</v>
      </c>
      <c r="I14" s="5" t="s">
        <v>105</v>
      </c>
    </row>
    <row r="15" customFormat="false" ht="15" hidden="false" customHeight="false" outlineLevel="0" collapsed="false">
      <c r="A15" s="5" t="s">
        <v>43</v>
      </c>
      <c r="B15" s="5" t="s">
        <v>106</v>
      </c>
      <c r="C15" s="5" t="s">
        <v>99</v>
      </c>
      <c r="D15" s="9" t="n">
        <v>0</v>
      </c>
      <c r="E15" s="5" t="s">
        <v>78</v>
      </c>
      <c r="F15" s="10" t="n">
        <f aca="false">IF(E15="month",N(D15),IF(E15="year",N(D15)/12,0))</f>
        <v>0</v>
      </c>
      <c r="G15" s="11" t="n">
        <f aca="false">F15*$B$4</f>
        <v>0</v>
      </c>
      <c r="H15" s="5" t="s">
        <v>100</v>
      </c>
      <c r="I15" s="5" t="s">
        <v>107</v>
      </c>
    </row>
    <row r="17" customFormat="false" ht="15" hidden="false" customHeight="false" outlineLevel="0" collapsed="false">
      <c r="A17" s="13" t="s">
        <v>108</v>
      </c>
      <c r="B17" s="14"/>
      <c r="C17" s="14"/>
      <c r="D17" s="14"/>
      <c r="E17" s="14"/>
      <c r="F17" s="15" t="n">
        <f aca="false">SUMIFS(F7:F15,C7:C15,"Fixed")</f>
        <v>15.8333333333333</v>
      </c>
      <c r="G17" s="16" t="n">
        <f aca="false">F17*$B$4</f>
        <v>58.1479166666667</v>
      </c>
      <c r="H17" s="14"/>
      <c r="I17" s="14"/>
    </row>
    <row r="18" customFormat="false" ht="15" hidden="false" customHeight="false" outlineLevel="0" collapsed="false">
      <c r="A18" s="13" t="s">
        <v>109</v>
      </c>
      <c r="B18" s="14"/>
      <c r="C18" s="14"/>
      <c r="D18" s="14"/>
      <c r="E18" s="14"/>
      <c r="F18" s="15" t="n">
        <f aca="false">SUM(F7:F15)</f>
        <v>57.0933333333333</v>
      </c>
      <c r="G18" s="16" t="n">
        <f aca="false">F18*$B$4</f>
        <v>209.675266666667</v>
      </c>
      <c r="H18" s="14"/>
      <c r="I18" s="14"/>
    </row>
    <row r="20" customFormat="false" ht="27.75" hidden="false" customHeight="true" outlineLevel="0" collapsed="false">
      <c r="A20" s="17" t="s">
        <v>110</v>
      </c>
      <c r="B20" s="18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18.5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19" t="s">
        <v>114</v>
      </c>
    </row>
    <row r="5" customFormat="false" ht="15" hidden="false" customHeight="false" outlineLevel="0" collapsed="false">
      <c r="A5" s="7" t="s">
        <v>115</v>
      </c>
      <c r="B5" s="20" t="n">
        <v>0.042</v>
      </c>
    </row>
    <row r="6" customFormat="false" ht="15" hidden="false" customHeight="false" outlineLevel="0" collapsed="false">
      <c r="A6" s="7" t="s">
        <v>116</v>
      </c>
      <c r="B6" s="20" t="n">
        <v>0.167</v>
      </c>
    </row>
    <row r="7" customFormat="false" ht="15" hidden="false" customHeight="false" outlineLevel="0" collapsed="false">
      <c r="A7" s="7" t="s">
        <v>117</v>
      </c>
      <c r="B7" s="20" t="n">
        <v>0.25</v>
      </c>
    </row>
    <row r="8" customFormat="false" ht="15" hidden="false" customHeight="false" outlineLevel="0" collapsed="false">
      <c r="A8" s="7" t="s">
        <v>118</v>
      </c>
      <c r="B8" s="20" t="n">
        <v>0.01</v>
      </c>
    </row>
    <row r="9" customFormat="false" ht="15" hidden="false" customHeight="false" outlineLevel="0" collapsed="false">
      <c r="A9" s="7" t="s">
        <v>66</v>
      </c>
      <c r="B9" s="21" t="n">
        <f aca="false">Costs!B4</f>
        <v>3.6725</v>
      </c>
    </row>
    <row r="11" customFormat="false" ht="30" hidden="false" customHeight="true" outlineLevel="0" collapsed="false">
      <c r="A11" s="3" t="s">
        <v>119</v>
      </c>
      <c r="B11" s="3" t="s">
        <v>120</v>
      </c>
      <c r="C11" s="3" t="s">
        <v>121</v>
      </c>
      <c r="D11" s="3" t="s">
        <v>122</v>
      </c>
      <c r="E11" s="3" t="s">
        <v>123</v>
      </c>
      <c r="F11" s="3" t="s">
        <v>124</v>
      </c>
      <c r="G11" s="3" t="s">
        <v>125</v>
      </c>
      <c r="H11" s="3" t="s">
        <v>71</v>
      </c>
      <c r="I11" s="3" t="s">
        <v>72</v>
      </c>
    </row>
    <row r="12" customFormat="false" ht="15" hidden="false" customHeight="false" outlineLevel="0" collapsed="false">
      <c r="A12" s="5" t="s">
        <v>99</v>
      </c>
      <c r="B12" s="5" t="s">
        <v>115</v>
      </c>
      <c r="C12" s="5" t="n">
        <v>2</v>
      </c>
      <c r="D12" s="22" t="n">
        <f aca="false">INDEX($B$5:$B$7,MATCH(B12,$A$5:$A$7,0))</f>
        <v>0.042</v>
      </c>
      <c r="E12" s="10" t="n">
        <f aca="false">C12*D12+$B$8</f>
        <v>0.094</v>
      </c>
      <c r="F12" s="23" t="n">
        <f aca="false">E12*$B$9</f>
        <v>0.345215</v>
      </c>
      <c r="G12" s="24" t="n">
        <v>150</v>
      </c>
      <c r="H12" s="10" t="n">
        <f aca="false">E12*G12</f>
        <v>14.1</v>
      </c>
      <c r="I12" s="11" t="n">
        <f aca="false">H12*$B$9</f>
        <v>51.78225</v>
      </c>
    </row>
    <row r="13" customFormat="false" ht="15" hidden="false" customHeight="false" outlineLevel="0" collapsed="false">
      <c r="A13" s="5" t="s">
        <v>126</v>
      </c>
      <c r="B13" s="5" t="s">
        <v>116</v>
      </c>
      <c r="C13" s="5" t="n">
        <v>3</v>
      </c>
      <c r="D13" s="22" t="n">
        <f aca="false">INDEX($B$5:$B$7,MATCH(B13,$A$5:$A$7,0))</f>
        <v>0.167</v>
      </c>
      <c r="E13" s="10" t="n">
        <f aca="false">C13*D13+$B$8</f>
        <v>0.511</v>
      </c>
      <c r="F13" s="23" t="n">
        <f aca="false">E13*$B$9</f>
        <v>1.8766475</v>
      </c>
      <c r="G13" s="24" t="n">
        <v>30</v>
      </c>
      <c r="H13" s="10" t="n">
        <f aca="false">E13*G13</f>
        <v>15.33</v>
      </c>
      <c r="I13" s="11" t="n">
        <f aca="false">H13*$B$9</f>
        <v>56.299425</v>
      </c>
    </row>
    <row r="14" customFormat="false" ht="15" hidden="false" customHeight="false" outlineLevel="0" collapsed="false">
      <c r="A14" s="5" t="s">
        <v>127</v>
      </c>
      <c r="B14" s="5" t="s">
        <v>116</v>
      </c>
      <c r="C14" s="5" t="n">
        <v>4</v>
      </c>
      <c r="D14" s="22" t="n">
        <f aca="false">INDEX($B$5:$B$7,MATCH(B14,$A$5:$A$7,0))</f>
        <v>0.167</v>
      </c>
      <c r="E14" s="10" t="n">
        <f aca="false">C14*D14+$B$8</f>
        <v>0.678</v>
      </c>
      <c r="F14" s="23" t="n">
        <f aca="false">E14*$B$9</f>
        <v>2.489955</v>
      </c>
      <c r="G14" s="24" t="n">
        <v>10</v>
      </c>
      <c r="H14" s="10" t="n">
        <f aca="false">E14*G14</f>
        <v>6.78</v>
      </c>
      <c r="I14" s="11" t="n">
        <f aca="false">H14*$B$9</f>
        <v>24.89955</v>
      </c>
    </row>
    <row r="15" customFormat="false" ht="15" hidden="false" customHeight="false" outlineLevel="0" collapsed="false">
      <c r="A15" s="5" t="s">
        <v>128</v>
      </c>
      <c r="B15" s="5" t="s">
        <v>117</v>
      </c>
      <c r="C15" s="5" t="n">
        <v>4</v>
      </c>
      <c r="D15" s="22" t="n">
        <f aca="false">INDEX($B$5:$B$7,MATCH(B15,$A$5:$A$7,0))</f>
        <v>0.25</v>
      </c>
      <c r="E15" s="10" t="n">
        <f aca="false">C15*D15+$B$8</f>
        <v>1.01</v>
      </c>
      <c r="F15" s="23" t="n">
        <f aca="false">E15*$B$9</f>
        <v>3.709225</v>
      </c>
      <c r="G15" s="24" t="n">
        <v>5</v>
      </c>
      <c r="H15" s="10" t="n">
        <f aca="false">E15*G15</f>
        <v>5.05</v>
      </c>
      <c r="I15" s="11" t="n">
        <f aca="false">H15*$B$9</f>
        <v>18.546125</v>
      </c>
    </row>
    <row r="16" customFormat="false" ht="15" hidden="false" customHeight="false" outlineLevel="0" collapsed="false">
      <c r="A16" s="13" t="s">
        <v>129</v>
      </c>
      <c r="B16" s="14"/>
      <c r="C16" s="14"/>
      <c r="D16" s="14"/>
      <c r="E16" s="14"/>
      <c r="F16" s="14"/>
      <c r="G16" s="25" t="n">
        <f aca="false">SUM(G12:G15)</f>
        <v>195</v>
      </c>
      <c r="H16" s="15" t="n">
        <f aca="false">SUM(H12:H15)</f>
        <v>41.26</v>
      </c>
      <c r="I16" s="16" t="n">
        <f aca="false">SUM(I12:I15)</f>
        <v>151.52735</v>
      </c>
    </row>
    <row r="18" customFormat="false" ht="27.75" hidden="false" customHeight="true" outlineLevel="0" collapsed="false">
      <c r="A18" s="26" t="s">
        <v>130</v>
      </c>
      <c r="B18" s="26"/>
      <c r="C18" s="26"/>
      <c r="D18" s="26"/>
      <c r="E18" s="26"/>
      <c r="F18" s="26"/>
      <c r="G18" s="26"/>
      <c r="H18" s="26"/>
      <c r="I18" s="26"/>
    </row>
  </sheetData>
  <mergeCells count="1"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18.5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30" hidden="false" customHeight="true" outlineLevel="0" collapsed="false">
      <c r="A4" s="3" t="s">
        <v>133</v>
      </c>
      <c r="B4" s="3" t="s">
        <v>134</v>
      </c>
      <c r="C4" s="3" t="s">
        <v>135</v>
      </c>
      <c r="D4" s="3" t="s">
        <v>136</v>
      </c>
      <c r="E4" s="3" t="s">
        <v>4</v>
      </c>
    </row>
    <row r="5" customFormat="false" ht="15" hidden="false" customHeight="false" outlineLevel="0" collapsed="false">
      <c r="A5" s="5" t="n">
        <v>1</v>
      </c>
      <c r="B5" s="5" t="s">
        <v>137</v>
      </c>
      <c r="C5" s="5" t="s">
        <v>138</v>
      </c>
      <c r="D5" s="5" t="s">
        <v>139</v>
      </c>
      <c r="E5" s="27" t="s">
        <v>140</v>
      </c>
    </row>
    <row r="6" customFormat="false" ht="15" hidden="false" customHeight="false" outlineLevel="0" collapsed="false">
      <c r="A6" s="5" t="n">
        <v>2</v>
      </c>
      <c r="B6" s="5" t="s">
        <v>141</v>
      </c>
      <c r="C6" s="5" t="s">
        <v>142</v>
      </c>
      <c r="D6" s="5" t="s">
        <v>139</v>
      </c>
      <c r="E6" s="27" t="s">
        <v>140</v>
      </c>
    </row>
    <row r="7" customFormat="false" ht="15" hidden="false" customHeight="false" outlineLevel="0" collapsed="false">
      <c r="A7" s="5" t="n">
        <v>3</v>
      </c>
      <c r="B7" s="5" t="s">
        <v>143</v>
      </c>
      <c r="C7" s="5" t="s">
        <v>144</v>
      </c>
      <c r="D7" s="5" t="s">
        <v>139</v>
      </c>
      <c r="E7" s="27" t="s">
        <v>140</v>
      </c>
    </row>
    <row r="8" customFormat="false" ht="15" hidden="false" customHeight="false" outlineLevel="0" collapsed="false">
      <c r="A8" s="5" t="n">
        <v>4</v>
      </c>
      <c r="B8" s="5" t="s">
        <v>145</v>
      </c>
      <c r="C8" s="5" t="s">
        <v>146</v>
      </c>
      <c r="D8" s="5" t="s">
        <v>139</v>
      </c>
      <c r="E8" s="27" t="s">
        <v>140</v>
      </c>
    </row>
    <row r="9" customFormat="false" ht="15" hidden="false" customHeight="false" outlineLevel="0" collapsed="false">
      <c r="A9" s="5" t="n">
        <v>5</v>
      </c>
      <c r="B9" s="5" t="s">
        <v>147</v>
      </c>
      <c r="C9" s="5" t="s">
        <v>148</v>
      </c>
      <c r="D9" s="5" t="s">
        <v>139</v>
      </c>
      <c r="E9" s="27" t="s">
        <v>140</v>
      </c>
    </row>
    <row r="10" customFormat="false" ht="15" hidden="false" customHeight="false" outlineLevel="0" collapsed="false">
      <c r="A10" s="5" t="n">
        <v>6</v>
      </c>
      <c r="B10" s="5" t="s">
        <v>149</v>
      </c>
      <c r="C10" s="5" t="s">
        <v>150</v>
      </c>
      <c r="D10" s="5" t="s">
        <v>139</v>
      </c>
      <c r="E10" s="27" t="s">
        <v>140</v>
      </c>
    </row>
    <row r="11" customFormat="false" ht="15" hidden="false" customHeight="false" outlineLevel="0" collapsed="false">
      <c r="A11" s="5" t="n">
        <v>7</v>
      </c>
      <c r="B11" s="5" t="s">
        <v>151</v>
      </c>
      <c r="C11" s="5" t="s">
        <v>152</v>
      </c>
      <c r="D11" s="5" t="s">
        <v>139</v>
      </c>
      <c r="E11" s="27" t="s">
        <v>140</v>
      </c>
    </row>
    <row r="12" customFormat="false" ht="15" hidden="false" customHeight="false" outlineLevel="0" collapsed="false">
      <c r="A12" s="5" t="n">
        <v>8</v>
      </c>
      <c r="B12" s="5" t="s">
        <v>153</v>
      </c>
      <c r="C12" s="5" t="s">
        <v>154</v>
      </c>
      <c r="D12" s="5" t="s">
        <v>139</v>
      </c>
      <c r="E12" s="27" t="s">
        <v>140</v>
      </c>
    </row>
    <row r="13" customFormat="false" ht="15" hidden="false" customHeight="false" outlineLevel="0" collapsed="false">
      <c r="A13" s="5" t="n">
        <v>9</v>
      </c>
      <c r="B13" s="5" t="s">
        <v>155</v>
      </c>
      <c r="C13" s="5" t="s">
        <v>156</v>
      </c>
      <c r="D13" s="5" t="s">
        <v>139</v>
      </c>
      <c r="E13" s="27" t="s">
        <v>140</v>
      </c>
    </row>
    <row r="14" customFormat="false" ht="15" hidden="false" customHeight="false" outlineLevel="0" collapsed="false">
      <c r="A14" s="5" t="n">
        <v>10</v>
      </c>
      <c r="B14" s="5" t="s">
        <v>157</v>
      </c>
      <c r="C14" s="5" t="s">
        <v>158</v>
      </c>
      <c r="D14" s="5" t="s">
        <v>139</v>
      </c>
      <c r="E14" s="27" t="s">
        <v>140</v>
      </c>
    </row>
    <row r="15" customFormat="false" ht="15" hidden="false" customHeight="false" outlineLevel="0" collapsed="false">
      <c r="A15" s="5" t="n">
        <v>11</v>
      </c>
      <c r="B15" s="5" t="s">
        <v>159</v>
      </c>
      <c r="C15" s="5" t="s">
        <v>160</v>
      </c>
      <c r="D15" s="5" t="s">
        <v>139</v>
      </c>
      <c r="E15" s="27" t="s">
        <v>140</v>
      </c>
    </row>
    <row r="16" customFormat="false" ht="15" hidden="false" customHeight="false" outlineLevel="0" collapsed="false">
      <c r="A16" s="5" t="n">
        <v>12</v>
      </c>
      <c r="B16" s="5" t="s">
        <v>161</v>
      </c>
      <c r="C16" s="5" t="s">
        <v>162</v>
      </c>
      <c r="D16" s="5" t="s">
        <v>57</v>
      </c>
      <c r="E16" s="27" t="s">
        <v>140</v>
      </c>
    </row>
    <row r="17" customFormat="false" ht="15" hidden="false" customHeight="false" outlineLevel="0" collapsed="false">
      <c r="A17" s="5" t="n">
        <v>13</v>
      </c>
      <c r="B17" s="5" t="s">
        <v>163</v>
      </c>
      <c r="C17" s="5" t="s">
        <v>164</v>
      </c>
      <c r="D17" s="5" t="s">
        <v>57</v>
      </c>
      <c r="E17" s="27" t="s">
        <v>140</v>
      </c>
    </row>
    <row r="18" customFormat="false" ht="15" hidden="false" customHeight="false" outlineLevel="0" collapsed="false">
      <c r="A18" s="5" t="n">
        <v>14</v>
      </c>
      <c r="B18" s="5" t="s">
        <v>165</v>
      </c>
      <c r="C18" s="5" t="s">
        <v>166</v>
      </c>
      <c r="D18" s="5" t="s">
        <v>57</v>
      </c>
      <c r="E18" s="27" t="s">
        <v>140</v>
      </c>
    </row>
  </sheetData>
  <dataValidations count="1">
    <dataValidation allowBlank="true" errorStyle="stop" operator="between" showDropDown="false" showErrorMessage="false" showInputMessage="false" sqref="E5:E18" type="list">
      <formula1>"Pending,Sent,Done,Not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2026-09-26T17:14:40Z</dcterms:created>
  <dc:creator>openpyxl</dc:creator>
  <dc:description/>
  <dc:language>en-US</dc:language>
  <cp:lastModifiedBy/>
  <dcterms:modified xsi:type="dcterms:W3CDTF">2026-09-26T17:14:40Z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